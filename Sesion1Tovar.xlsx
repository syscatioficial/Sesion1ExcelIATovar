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\Videos\EjerciciosExcelTovar\"/>
    </mc:Choice>
  </mc:AlternateContent>
  <xr:revisionPtr revIDLastSave="0" documentId="13_ncr:1_{374AD36C-CA44-47F4-B386-3B7D1BA50C23}" xr6:coauthVersionLast="47" xr6:coauthVersionMax="47" xr10:uidLastSave="{00000000-0000-0000-0000-000000000000}"/>
  <bookViews>
    <workbookView xWindow="-109" yWindow="-109" windowWidth="18775" windowHeight="10067" activeTab="1" xr2:uid="{7E93DA56-9588-4875-ACAC-A3A91CC11143}"/>
  </bookViews>
  <sheets>
    <sheet name="Ejercicio1Tabla" sheetId="1" r:id="rId1"/>
    <sheet name="Inventarios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2" l="1"/>
  <c r="J8" i="2"/>
  <c r="J9" i="2"/>
  <c r="J10" i="2"/>
  <c r="J11" i="2"/>
  <c r="J12" i="2"/>
  <c r="J13" i="2"/>
  <c r="J14" i="2"/>
  <c r="J15" i="2"/>
  <c r="J6" i="2"/>
  <c r="I7" i="2"/>
  <c r="I8" i="2"/>
  <c r="I9" i="2"/>
  <c r="I10" i="2"/>
  <c r="I11" i="2"/>
  <c r="I12" i="2"/>
  <c r="I13" i="2"/>
  <c r="I14" i="2"/>
  <c r="I15" i="2"/>
  <c r="I6" i="2"/>
  <c r="H7" i="2"/>
  <c r="H8" i="2"/>
  <c r="H9" i="2"/>
  <c r="H10" i="2"/>
  <c r="H11" i="2"/>
  <c r="H12" i="2"/>
  <c r="H13" i="2"/>
  <c r="H14" i="2"/>
  <c r="H15" i="2"/>
  <c r="H6" i="2"/>
  <c r="G7" i="2"/>
  <c r="G8" i="2"/>
  <c r="G9" i="2"/>
  <c r="G10" i="2"/>
  <c r="G11" i="2"/>
  <c r="G12" i="2"/>
  <c r="G13" i="2"/>
  <c r="G14" i="2"/>
  <c r="G15" i="2"/>
  <c r="G6" i="2"/>
  <c r="C3" i="2"/>
  <c r="F9" i="1"/>
  <c r="F10" i="1"/>
  <c r="F13" i="1"/>
  <c r="F14" i="1"/>
  <c r="D7" i="1"/>
  <c r="F7" i="1" s="1"/>
  <c r="D8" i="1"/>
  <c r="F8" i="1" s="1"/>
  <c r="D9" i="1"/>
  <c r="D10" i="1"/>
  <c r="D11" i="1"/>
  <c r="F11" i="1" s="1"/>
  <c r="D12" i="1"/>
  <c r="F12" i="1" s="1"/>
  <c r="D13" i="1"/>
  <c r="D14" i="1"/>
  <c r="D15" i="1"/>
  <c r="F15" i="1" s="1"/>
  <c r="D6" i="1"/>
  <c r="F6" i="1" s="1"/>
</calcChain>
</file>

<file path=xl/sharedStrings.xml><?xml version="1.0" encoding="utf-8"?>
<sst xmlns="http://schemas.openxmlformats.org/spreadsheetml/2006/main" count="63" uniqueCount="33">
  <si>
    <t>Tabla de multipliciar de N numero</t>
  </si>
  <si>
    <t>Instrucciones : Captura un numero para generar la tabla de miltipalr del 1 al 10 en la celda amarilla</t>
  </si>
  <si>
    <t>Numero</t>
  </si>
  <si>
    <t>"X"</t>
  </si>
  <si>
    <t xml:space="preserve">Tabla del </t>
  </si>
  <si>
    <t>"="</t>
  </si>
  <si>
    <t>RESULTADO</t>
  </si>
  <si>
    <t xml:space="preserve">Nomina Empresarial Tovar </t>
  </si>
  <si>
    <t xml:space="preserve">Fecha </t>
  </si>
  <si>
    <t>ID</t>
  </si>
  <si>
    <t>Nombre Producto</t>
  </si>
  <si>
    <t xml:space="preserve">Categoria </t>
  </si>
  <si>
    <t>Precio Unitario</t>
  </si>
  <si>
    <t xml:space="preserve">Cantidad </t>
  </si>
  <si>
    <t xml:space="preserve">Valor total </t>
  </si>
  <si>
    <t>TV</t>
  </si>
  <si>
    <t>Radio</t>
  </si>
  <si>
    <t>PC</t>
  </si>
  <si>
    <t>Alexa</t>
  </si>
  <si>
    <t>Pancha</t>
  </si>
  <si>
    <t>Lavadora</t>
  </si>
  <si>
    <t>Café</t>
  </si>
  <si>
    <t>Azucar</t>
  </si>
  <si>
    <t>Cochon</t>
  </si>
  <si>
    <t>Electronicos</t>
  </si>
  <si>
    <t>Computo</t>
  </si>
  <si>
    <t>Linea blanca</t>
  </si>
  <si>
    <t>Abarrotes</t>
  </si>
  <si>
    <t>Muebles</t>
  </si>
  <si>
    <t>Sala</t>
  </si>
  <si>
    <t>IVA 16%</t>
  </si>
  <si>
    <t>VT + IVA</t>
  </si>
  <si>
    <t>PEDIDO-STOCK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</si>
</sst>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079CA9-B95B-4706-B189-1A91C17FFB03}" name="t_productos" displayName="t_productos" ref="B5:J15" totalsRowShown="0">
  <autoFilter ref="B5:J15" xr:uid="{D3079CA9-B95B-4706-B189-1A91C17FFB03}"/>
  <tableColumns count="9">
    <tableColumn id="1" xr3:uid="{CA70235D-8200-4DB3-AC32-3944B5822F58}" name="ID"/>
    <tableColumn id="2" xr3:uid="{8BCF5133-D154-4129-A9BF-CB00191C1FEF}" name="Nombre Producto"/>
    <tableColumn id="3" xr3:uid="{13AE7337-8E73-4DEC-81BF-E0707FE75D00}" name="Categoria "/>
    <tableColumn id="4" xr3:uid="{83D5AD71-7F5B-441E-A3DD-B641DF1F3F0C}" name="Precio Unitario"/>
    <tableColumn id="5" xr3:uid="{C175BE9E-D3E5-4237-84EF-1316BEA281F7}" name="Cantidad "/>
    <tableColumn id="6" xr3:uid="{D8692B63-C0F9-429E-881E-40244022F500}" name="Valor total ">
      <calculatedColumnFormula>E6*F6</calculatedColumnFormula>
    </tableColumn>
    <tableColumn id="7" xr3:uid="{4C5757A9-113A-43D4-9F6D-C24C4D048954}" name="IVA 16%">
      <calculatedColumnFormula>E6*0.16</calculatedColumnFormula>
    </tableColumn>
    <tableColumn id="8" xr3:uid="{9E8CCC9C-11D3-42E9-A568-421FCE7FC457}" name="VT + IVA">
      <calculatedColumnFormula>E6+H6</calculatedColumnFormula>
    </tableColumn>
    <tableColumn id="9" xr3:uid="{DF342B3A-29A7-4943-809A-0200802B02C2}" name="PEDIDO-STOCK">
      <calculatedColumnFormula>IF(F6&lt;10,"Pedir mercancia","En existencia - stock lleno 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4C6AF-7F68-4FA6-AC81-9B292A47C205}">
  <sheetPr>
    <tabColor rgb="FFFF0000"/>
  </sheetPr>
  <dimension ref="B2:J15"/>
  <sheetViews>
    <sheetView workbookViewId="0">
      <selection activeCell="H17" sqref="H17"/>
    </sheetView>
  </sheetViews>
  <sheetFormatPr baseColWidth="10" defaultRowHeight="14.3" x14ac:dyDescent="0.25"/>
  <sheetData>
    <row r="2" spans="2:10" x14ac:dyDescent="0.25">
      <c r="B2" t="s">
        <v>0</v>
      </c>
    </row>
    <row r="3" spans="2:10" x14ac:dyDescent="0.25">
      <c r="B3" s="1" t="s">
        <v>1</v>
      </c>
      <c r="J3" s="2">
        <v>5</v>
      </c>
    </row>
    <row r="5" spans="2:10" x14ac:dyDescent="0.25">
      <c r="B5" t="s">
        <v>2</v>
      </c>
      <c r="C5" s="3" t="s">
        <v>3</v>
      </c>
      <c r="D5" t="s">
        <v>4</v>
      </c>
      <c r="E5" s="3" t="s">
        <v>5</v>
      </c>
      <c r="F5" t="s">
        <v>6</v>
      </c>
    </row>
    <row r="6" spans="2:10" x14ac:dyDescent="0.25">
      <c r="B6">
        <v>1</v>
      </c>
      <c r="C6" s="3" t="s">
        <v>3</v>
      </c>
      <c r="D6">
        <f>$J$3</f>
        <v>5</v>
      </c>
      <c r="E6" s="3" t="s">
        <v>5</v>
      </c>
      <c r="F6">
        <f>B6*D6</f>
        <v>5</v>
      </c>
    </row>
    <row r="7" spans="2:10" x14ac:dyDescent="0.25">
      <c r="B7">
        <v>2</v>
      </c>
      <c r="C7" s="3" t="s">
        <v>3</v>
      </c>
      <c r="D7">
        <f t="shared" ref="D7:D15" si="0">$J$3</f>
        <v>5</v>
      </c>
      <c r="E7" s="3" t="s">
        <v>5</v>
      </c>
      <c r="F7">
        <f t="shared" ref="F7:F15" si="1">B7*D7</f>
        <v>10</v>
      </c>
    </row>
    <row r="8" spans="2:10" x14ac:dyDescent="0.25">
      <c r="B8">
        <v>3</v>
      </c>
      <c r="C8" s="3" t="s">
        <v>3</v>
      </c>
      <c r="D8">
        <f t="shared" si="0"/>
        <v>5</v>
      </c>
      <c r="E8" s="3" t="s">
        <v>5</v>
      </c>
      <c r="F8">
        <f t="shared" si="1"/>
        <v>15</v>
      </c>
    </row>
    <row r="9" spans="2:10" x14ac:dyDescent="0.25">
      <c r="B9">
        <v>4</v>
      </c>
      <c r="C9" s="3" t="s">
        <v>3</v>
      </c>
      <c r="D9">
        <f t="shared" si="0"/>
        <v>5</v>
      </c>
      <c r="E9" s="3" t="s">
        <v>5</v>
      </c>
      <c r="F9">
        <f t="shared" si="1"/>
        <v>20</v>
      </c>
    </row>
    <row r="10" spans="2:10" x14ac:dyDescent="0.25">
      <c r="B10">
        <v>5</v>
      </c>
      <c r="C10" s="3" t="s">
        <v>3</v>
      </c>
      <c r="D10">
        <f t="shared" si="0"/>
        <v>5</v>
      </c>
      <c r="E10" s="3" t="s">
        <v>5</v>
      </c>
      <c r="F10">
        <f t="shared" si="1"/>
        <v>25</v>
      </c>
    </row>
    <row r="11" spans="2:10" x14ac:dyDescent="0.25">
      <c r="B11">
        <v>6</v>
      </c>
      <c r="C11" s="3" t="s">
        <v>3</v>
      </c>
      <c r="D11">
        <f t="shared" si="0"/>
        <v>5</v>
      </c>
      <c r="E11" s="3" t="s">
        <v>5</v>
      </c>
      <c r="F11">
        <f t="shared" si="1"/>
        <v>30</v>
      </c>
    </row>
    <row r="12" spans="2:10" x14ac:dyDescent="0.25">
      <c r="B12">
        <v>7</v>
      </c>
      <c r="C12" s="3" t="s">
        <v>3</v>
      </c>
      <c r="D12">
        <f t="shared" si="0"/>
        <v>5</v>
      </c>
      <c r="E12" s="3" t="s">
        <v>5</v>
      </c>
      <c r="F12">
        <f t="shared" si="1"/>
        <v>35</v>
      </c>
    </row>
    <row r="13" spans="2:10" x14ac:dyDescent="0.25">
      <c r="B13">
        <v>8</v>
      </c>
      <c r="C13" s="3" t="s">
        <v>3</v>
      </c>
      <c r="D13">
        <f t="shared" si="0"/>
        <v>5</v>
      </c>
      <c r="E13" s="3" t="s">
        <v>5</v>
      </c>
      <c r="F13">
        <f t="shared" si="1"/>
        <v>40</v>
      </c>
    </row>
    <row r="14" spans="2:10" x14ac:dyDescent="0.25">
      <c r="B14">
        <v>9</v>
      </c>
      <c r="C14" s="3" t="s">
        <v>3</v>
      </c>
      <c r="D14">
        <f t="shared" si="0"/>
        <v>5</v>
      </c>
      <c r="E14" s="3" t="s">
        <v>5</v>
      </c>
      <c r="F14">
        <f t="shared" si="1"/>
        <v>45</v>
      </c>
    </row>
    <row r="15" spans="2:10" x14ac:dyDescent="0.25">
      <c r="B15">
        <v>10</v>
      </c>
      <c r="C15" s="3" t="s">
        <v>3</v>
      </c>
      <c r="D15">
        <f t="shared" si="0"/>
        <v>5</v>
      </c>
      <c r="E15" s="3" t="s">
        <v>5</v>
      </c>
      <c r="F15">
        <f t="shared" si="1"/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738A-18B7-4841-925A-4FD0DF507912}">
  <sheetPr>
    <tabColor rgb="FF0070C0"/>
  </sheetPr>
  <dimension ref="A2:J15"/>
  <sheetViews>
    <sheetView tabSelected="1" workbookViewId="0">
      <selection activeCell="J15" sqref="J15"/>
    </sheetView>
  </sheetViews>
  <sheetFormatPr baseColWidth="10" defaultRowHeight="14.3" x14ac:dyDescent="0.25"/>
  <cols>
    <col min="3" max="3" width="18.5" customWidth="1"/>
    <col min="4" max="4" width="11.625" customWidth="1"/>
    <col min="5" max="5" width="15.875" customWidth="1"/>
    <col min="6" max="6" width="11.125" customWidth="1"/>
    <col min="7" max="7" width="12.625" customWidth="1"/>
    <col min="10" max="10" width="22.75" bestFit="1" customWidth="1"/>
  </cols>
  <sheetData>
    <row r="2" spans="1:10" x14ac:dyDescent="0.25">
      <c r="B2" t="s">
        <v>7</v>
      </c>
    </row>
    <row r="3" spans="1:10" x14ac:dyDescent="0.25">
      <c r="B3" t="s">
        <v>8</v>
      </c>
      <c r="C3" s="4">
        <f ca="1">TODAY()</f>
        <v>45957</v>
      </c>
    </row>
    <row r="5" spans="1:10" x14ac:dyDescent="0.25"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30</v>
      </c>
      <c r="I5" t="s">
        <v>31</v>
      </c>
      <c r="J5" t="s">
        <v>32</v>
      </c>
    </row>
    <row r="6" spans="1:10" x14ac:dyDescent="0.25">
      <c r="B6">
        <v>1</v>
      </c>
      <c r="C6" t="s">
        <v>15</v>
      </c>
      <c r="D6" t="s">
        <v>24</v>
      </c>
      <c r="E6">
        <v>5000</v>
      </c>
      <c r="F6">
        <v>5</v>
      </c>
      <c r="G6">
        <f>E6*F6</f>
        <v>25000</v>
      </c>
      <c r="H6">
        <f>E6*0.16</f>
        <v>800</v>
      </c>
      <c r="I6">
        <f>E6+H6</f>
        <v>5800</v>
      </c>
      <c r="J6" t="str">
        <f>IF(F6&lt;10,"Pedir mercancia","En existencia - stock lleno ")</f>
        <v>Pedir mercancia</v>
      </c>
    </row>
    <row r="7" spans="1:10" x14ac:dyDescent="0.25">
      <c r="A7" t="s">
        <v>24</v>
      </c>
      <c r="B7">
        <v>2</v>
      </c>
      <c r="C7" t="s">
        <v>16</v>
      </c>
      <c r="D7" t="s">
        <v>24</v>
      </c>
      <c r="E7">
        <v>1000</v>
      </c>
      <c r="F7">
        <v>5</v>
      </c>
      <c r="G7">
        <f t="shared" ref="G7:G15" si="0">E7*F7</f>
        <v>5000</v>
      </c>
      <c r="H7">
        <f t="shared" ref="H7:H15" si="1">E7*0.16</f>
        <v>160</v>
      </c>
      <c r="I7">
        <f t="shared" ref="I7:I15" si="2">E7+H7</f>
        <v>1160</v>
      </c>
      <c r="J7" t="str">
        <f t="shared" ref="J7:J15" si="3">IF(F7&lt;10,"Pedir mercancia","En existencia - stock lleno ")</f>
        <v>Pedir mercancia</v>
      </c>
    </row>
    <row r="8" spans="1:10" x14ac:dyDescent="0.25">
      <c r="A8" t="s">
        <v>25</v>
      </c>
      <c r="B8">
        <v>3</v>
      </c>
      <c r="C8" t="s">
        <v>17</v>
      </c>
      <c r="D8" t="s">
        <v>25</v>
      </c>
      <c r="E8">
        <v>5000</v>
      </c>
      <c r="F8">
        <v>2</v>
      </c>
      <c r="G8">
        <f t="shared" si="0"/>
        <v>10000</v>
      </c>
      <c r="H8">
        <f t="shared" si="1"/>
        <v>800</v>
      </c>
      <c r="I8">
        <f t="shared" si="2"/>
        <v>5800</v>
      </c>
      <c r="J8" t="str">
        <f t="shared" si="3"/>
        <v>Pedir mercancia</v>
      </c>
    </row>
    <row r="9" spans="1:10" x14ac:dyDescent="0.25">
      <c r="A9" t="s">
        <v>26</v>
      </c>
      <c r="B9">
        <v>4</v>
      </c>
      <c r="C9" t="s">
        <v>18</v>
      </c>
      <c r="D9" t="s">
        <v>25</v>
      </c>
      <c r="E9">
        <v>750</v>
      </c>
      <c r="F9">
        <v>20</v>
      </c>
      <c r="G9">
        <f t="shared" si="0"/>
        <v>15000</v>
      </c>
      <c r="H9">
        <f t="shared" si="1"/>
        <v>120</v>
      </c>
      <c r="I9">
        <f t="shared" si="2"/>
        <v>870</v>
      </c>
      <c r="J9" t="str">
        <f t="shared" si="3"/>
        <v xml:space="preserve">En existencia - stock lleno </v>
      </c>
    </row>
    <row r="10" spans="1:10" x14ac:dyDescent="0.25">
      <c r="A10" t="s">
        <v>27</v>
      </c>
      <c r="B10">
        <v>5</v>
      </c>
      <c r="C10" t="s">
        <v>19</v>
      </c>
      <c r="D10" t="s">
        <v>26</v>
      </c>
      <c r="E10">
        <v>200</v>
      </c>
      <c r="F10">
        <v>1</v>
      </c>
      <c r="G10">
        <f t="shared" si="0"/>
        <v>200</v>
      </c>
      <c r="H10">
        <f t="shared" si="1"/>
        <v>32</v>
      </c>
      <c r="I10">
        <f t="shared" si="2"/>
        <v>232</v>
      </c>
      <c r="J10" t="str">
        <f t="shared" si="3"/>
        <v>Pedir mercancia</v>
      </c>
    </row>
    <row r="11" spans="1:10" x14ac:dyDescent="0.25">
      <c r="A11" t="s">
        <v>28</v>
      </c>
      <c r="B11">
        <v>6</v>
      </c>
      <c r="C11" t="s">
        <v>20</v>
      </c>
      <c r="D11" t="s">
        <v>26</v>
      </c>
      <c r="E11">
        <v>4000</v>
      </c>
      <c r="F11">
        <v>2</v>
      </c>
      <c r="G11">
        <f t="shared" si="0"/>
        <v>8000</v>
      </c>
      <c r="H11">
        <f t="shared" si="1"/>
        <v>640</v>
      </c>
      <c r="I11">
        <f t="shared" si="2"/>
        <v>4640</v>
      </c>
      <c r="J11" t="str">
        <f t="shared" si="3"/>
        <v>Pedir mercancia</v>
      </c>
    </row>
    <row r="12" spans="1:10" x14ac:dyDescent="0.25">
      <c r="B12">
        <v>7</v>
      </c>
      <c r="C12" t="s">
        <v>21</v>
      </c>
      <c r="D12" t="s">
        <v>27</v>
      </c>
      <c r="E12">
        <v>100</v>
      </c>
      <c r="F12">
        <v>10</v>
      </c>
      <c r="G12">
        <f t="shared" si="0"/>
        <v>1000</v>
      </c>
      <c r="H12">
        <f t="shared" si="1"/>
        <v>16</v>
      </c>
      <c r="I12">
        <f t="shared" si="2"/>
        <v>116</v>
      </c>
      <c r="J12" t="str">
        <f t="shared" si="3"/>
        <v xml:space="preserve">En existencia - stock lleno </v>
      </c>
    </row>
    <row r="13" spans="1:10" x14ac:dyDescent="0.25">
      <c r="B13">
        <v>8</v>
      </c>
      <c r="C13" t="s">
        <v>22</v>
      </c>
      <c r="D13" t="s">
        <v>27</v>
      </c>
      <c r="E13">
        <v>50</v>
      </c>
      <c r="F13">
        <v>10</v>
      </c>
      <c r="G13">
        <f t="shared" si="0"/>
        <v>500</v>
      </c>
      <c r="H13">
        <f t="shared" si="1"/>
        <v>8</v>
      </c>
      <c r="I13">
        <f t="shared" si="2"/>
        <v>58</v>
      </c>
      <c r="J13" t="str">
        <f t="shared" si="3"/>
        <v xml:space="preserve">En existencia - stock lleno </v>
      </c>
    </row>
    <row r="14" spans="1:10" x14ac:dyDescent="0.25">
      <c r="B14">
        <v>9</v>
      </c>
      <c r="C14" t="s">
        <v>23</v>
      </c>
      <c r="D14" t="s">
        <v>28</v>
      </c>
      <c r="E14">
        <v>1000</v>
      </c>
      <c r="F14">
        <v>1</v>
      </c>
      <c r="G14">
        <f t="shared" si="0"/>
        <v>1000</v>
      </c>
      <c r="H14">
        <f t="shared" si="1"/>
        <v>160</v>
      </c>
      <c r="I14">
        <f t="shared" si="2"/>
        <v>1160</v>
      </c>
      <c r="J14" t="str">
        <f t="shared" si="3"/>
        <v>Pedir mercancia</v>
      </c>
    </row>
    <row r="15" spans="1:10" x14ac:dyDescent="0.25">
      <c r="B15">
        <v>10</v>
      </c>
      <c r="C15" t="s">
        <v>29</v>
      </c>
      <c r="D15" t="s">
        <v>28</v>
      </c>
      <c r="E15">
        <v>4000</v>
      </c>
      <c r="F15">
        <v>11</v>
      </c>
      <c r="G15">
        <f t="shared" si="0"/>
        <v>44000</v>
      </c>
      <c r="H15">
        <f t="shared" si="1"/>
        <v>640</v>
      </c>
      <c r="I15">
        <f t="shared" si="2"/>
        <v>4640</v>
      </c>
      <c r="J15" t="str">
        <f t="shared" si="3"/>
        <v xml:space="preserve">En existencia - stock lleno </v>
      </c>
    </row>
  </sheetData>
  <conditionalFormatting sqref="J6:J15">
    <cfRule type="containsText" dxfId="0" priority="2" operator="containsText" text="Pedir">
      <formula>NOT(ISERROR(SEARCH("Pedir",J6)))</formula>
    </cfRule>
    <cfRule type="containsText" dxfId="1" priority="1" operator="containsText" text="En existencia">
      <formula>NOT(ISERROR(SEARCH("En existencia",J6)))</formula>
    </cfRule>
  </conditionalFormatting>
  <dataValidations count="1">
    <dataValidation type="list" allowBlank="1" showInputMessage="1" showErrorMessage="1" sqref="D6:D15" xr:uid="{59F3B0C6-5D4E-4F0B-9F5E-1FCFFA63F12B}">
      <formula1>$A$7:$A$11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Ejercicio1Tabla</vt:lpstr>
      <vt:lpstr>Inventarios2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hildeberto tovar</dc:creator>
  <cp:lastModifiedBy>hildeberto tovar</cp:lastModifiedBy>
  <dcterms:created xsi:type="dcterms:W3CDTF">2025-10-28T01:31:04Z</dcterms:created>
  <dcterms:modified xsi:type="dcterms:W3CDTF">2025-10-28T02:37:26Z</dcterms:modified>
</cp:coreProperties>
</file>